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640"/>
  </bookViews>
  <sheets>
    <sheet name="订单管理表" sheetId="2" r:id="rId1"/>
    <sheet name="使用说明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<sst xmlns="http://schemas.openxmlformats.org/spreadsheetml/2006/main" count="67" uniqueCount="62">
  <si>
    <t>订单编号</t>
  </si>
  <si>
    <t>客户名称</t>
  </si>
  <si>
    <t>产品型号</t>
  </si>
  <si>
    <t>订单数量</t>
  </si>
  <si>
    <t>每台加工价格</t>
  </si>
  <si>
    <t>加工总金额</t>
  </si>
  <si>
    <t>合同约定交期</t>
  </si>
  <si>
    <t>计划组装日期</t>
  </si>
  <si>
    <t>组装完成日期</t>
  </si>
  <si>
    <t>实际交期</t>
  </si>
  <si>
    <t>货款约定到账日</t>
  </si>
  <si>
    <t>实际到账日期</t>
  </si>
  <si>
    <t>订单状态</t>
  </si>
  <si>
    <t>回款状态</t>
  </si>
  <si>
    <t>备注</t>
  </si>
  <si>
    <t>DD-20260703-001</t>
  </si>
  <si>
    <t>纳微科技</t>
  </si>
  <si>
    <t>4K行车记录仪</t>
  </si>
  <si>
    <t>已完成</t>
  </si>
  <si>
    <t>未到账</t>
  </si>
  <si>
    <t>深圳仓发货</t>
  </si>
  <si>
    <t>DD-20260703-002</t>
  </si>
  <si>
    <t>深圳XX电子</t>
  </si>
  <si>
    <t>CarPlay智慧屏</t>
  </si>
  <si>
    <t>待排产</t>
  </si>
  <si>
    <t>新客户首单</t>
  </si>
  <si>
    <t>DD-20260703-003</t>
  </si>
  <si>
    <t>广州XX贸易</t>
  </si>
  <si>
    <t>已交付</t>
  </si>
  <si>
    <t>已到账</t>
  </si>
  <si>
    <t>老客户月结</t>
  </si>
  <si>
    <t>DD-20260703-004</t>
  </si>
  <si>
    <t>东莞XX科技</t>
  </si>
  <si>
    <t>快递代收</t>
  </si>
  <si>
    <t>【订单加工管理系统 - 使用说明】</t>
  </si>
  <si>
    <t>一、核心功能</t>
  </si>
  <si>
    <t>1. 自动计算加工总金额：填订单数量和每台价格，总金额自动算出</t>
  </si>
  <si>
    <t>2. 订单状态管理：待排产 → 生产中 → 已完成 → 已交付</t>
  </si>
  <si>
    <t>3. 回款跟踪：未到账 → 部分到账 → 已到账，逾期标红</t>
  </si>
  <si>
    <t>4. 交期管理：合同交期、计划组装、实际完成、实际交付全流程记录</t>
  </si>
  <si>
    <t>二、使用步骤</t>
  </si>
  <si>
    <t>1. 新增订单：在最后一行下面直接填写，订单编号自己编（如DD-20260704-005）</t>
  </si>
  <si>
    <t>2. 自动公式：F列（加工总金额）已设好公式，新增行把公式下拉即可</t>
  </si>
  <si>
    <t>3. 状态更新：订单状态和回款状态直接选填，颜色会自动对应</t>
  </si>
  <si>
    <t>4. 日期填写：所有日期列直接选日期，格式已设好</t>
  </si>
  <si>
    <t>三、字段说明</t>
  </si>
  <si>
    <t>• 订单编号：自己按规则编，建议 DD+日期+序号</t>
  </si>
  <si>
    <t>• 订单数量：加工的台数</t>
  </si>
  <si>
    <t>• 每台加工价格：单台加工费（元）</t>
  </si>
  <si>
    <t>• 加工总金额：自动计算 = 数量 × 单价</t>
  </si>
  <si>
    <t>• 合同约定交期：合同上写的交货日期</t>
  </si>
  <si>
    <t>• 计划组装日期：安排生产的日期</t>
  </si>
  <si>
    <t>• 组装完成日期：实际生产完工日期</t>
  </si>
  <si>
    <t>• 实际交期：实际发货/交货日期</t>
  </si>
  <si>
    <t>• 货款约定到账日：合同约定的付款日期</t>
  </si>
  <si>
    <t>• 实际到账日期：货款实际到账的日期</t>
  </si>
  <si>
    <t>• 订单状态：待排产/生产中/已完成/已交付</t>
  </si>
  <si>
    <t>• 回款状态：未到账/部分到账/已到账/已逾期</t>
  </si>
  <si>
    <t>四、小技巧</t>
  </si>
  <si>
    <t>1. 想筛选：选中表头 → 数据 → 筛选，可按客户、状态快速查找</t>
  </si>
  <si>
    <t>2. 想统计：表格底部加一行，用SUM函数算总金额、总数量</t>
  </si>
  <si>
    <t>3. 逾期提醒：合同交期过了还没交付的，手动标红提醒自己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</si>
</sst>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"/>
    <numFmt numFmtId="177" formatCode="yyyy\-mm\-dd"/>
  </numFmts>
  <fonts count="25">
    <font>
      <sz val="10"/>
      <color theme="1"/>
      <name val="等线"/>
      <charset val="134"/>
      <scheme val="minor"/>
    </font>
    <font>
      <b/>
      <sz val="14"/>
      <color rgb="FF4472C4"/>
      <name val="等线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A9D0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9" borderId="4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0</xdr:row>
      <xdr:rowOff>19050</xdr:rowOff>
    </xdr:from>
    <xdr:to>
      <xdr:col>0</xdr:col>
      <xdr:colOff>1257300</xdr:colOff>
      <xdr:row>2</xdr:row>
      <xdr:rowOff>57150</xdr:rowOff>
    </xdr:to>
    <xdr:pic>
      <xdr:nvPicPr>
        <xdr:cNvPr id="2" name="Picture 2" descr="MTdxzN"/>
        <xdr:cNvPicPr/>
      </xdr:nvPicPr>
      <xdr:blipFill>
        <a:blip r:embed="rId1"/>
        <a:stretch>
          <a:fillRect/>
        </a:stretch>
      </xdr:blipFill>
      <xdr:spPr>
        <a:xfrm>
          <a:off x="19050" y="19050"/>
          <a:ext cx="1238250" cy="41910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5"/>
  <sheetViews>
    <sheetView tabSelected="1" workbookViewId="0">
      <pane ySplit="1" topLeftCell="A2" activePane="bottomLeft" state="frozen"/>
      <selection/>
      <selection pane="bottomLeft" activeCell="B13" sqref="B13"/>
    </sheetView>
  </sheetViews>
  <sheetFormatPr defaultColWidth="14" defaultRowHeight="15.2" outlineLevelRow="4"/>
  <cols>
    <col min="1" max="1" width="19" customWidth="1"/>
    <col min="2" max="2" width="15" customWidth="1"/>
    <col min="3" max="3" width="19" customWidth="1"/>
    <col min="4" max="4" width="11" customWidth="1"/>
    <col min="5" max="9" width="15" customWidth="1"/>
    <col min="10" max="10" width="13" customWidth="1"/>
    <col min="11" max="11" width="17" customWidth="1"/>
    <col min="12" max="12" width="15" customWidth="1"/>
    <col min="13" max="14" width="11" customWidth="1"/>
    <col min="15" max="15" width="15" customWidth="1"/>
  </cols>
  <sheetData>
    <row r="1" ht="29" customHeight="1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ht="22" customHeight="1" spans="1:15">
      <c r="A2" s="5" t="s">
        <v>15</v>
      </c>
      <c r="B2" s="5" t="s">
        <v>16</v>
      </c>
      <c r="C2" s="5" t="s">
        <v>17</v>
      </c>
      <c r="D2" s="6">
        <v>100</v>
      </c>
      <c r="E2" s="7">
        <v>85</v>
      </c>
      <c r="F2" s="7">
        <f>IF(AND(D2&lt;&gt;"",E2&lt;&gt;""),D2*E2,"")</f>
        <v>8500</v>
      </c>
      <c r="G2" s="8">
        <v>46218</v>
      </c>
      <c r="H2" s="8">
        <v>46213</v>
      </c>
      <c r="I2" s="8">
        <v>46215</v>
      </c>
      <c r="J2" s="8">
        <v>46216</v>
      </c>
      <c r="K2" s="8">
        <v>46223</v>
      </c>
      <c r="L2" s="5"/>
      <c r="M2" s="9" t="s">
        <v>18</v>
      </c>
      <c r="N2" s="10" t="s">
        <v>19</v>
      </c>
      <c r="O2" s="5" t="s">
        <v>20</v>
      </c>
    </row>
    <row r="3" ht="22" customHeight="1" spans="1:15">
      <c r="A3" s="5" t="s">
        <v>21</v>
      </c>
      <c r="B3" s="5" t="s">
        <v>22</v>
      </c>
      <c r="C3" s="5" t="s">
        <v>23</v>
      </c>
      <c r="D3" s="6">
        <v>50</v>
      </c>
      <c r="E3" s="7">
        <v>120</v>
      </c>
      <c r="F3" s="7">
        <f>IF(AND(D3&lt;&gt;"",E3&lt;&gt;""),D3*E3,"")</f>
        <v>6000</v>
      </c>
      <c r="G3" s="8">
        <v>46223</v>
      </c>
      <c r="H3" s="8">
        <v>46218</v>
      </c>
      <c r="I3" s="5"/>
      <c r="J3" s="5"/>
      <c r="K3" s="8">
        <v>46228</v>
      </c>
      <c r="L3" s="5"/>
      <c r="M3" s="11" t="s">
        <v>24</v>
      </c>
      <c r="N3" s="10" t="s">
        <v>19</v>
      </c>
      <c r="O3" s="5" t="s">
        <v>25</v>
      </c>
    </row>
    <row r="4" ht="22" customHeight="1" spans="1:15">
      <c r="A4" s="5" t="s">
        <v>26</v>
      </c>
      <c r="B4" s="5" t="s">
        <v>27</v>
      </c>
      <c r="C4" s="5" t="s">
        <v>17</v>
      </c>
      <c r="D4" s="6">
        <v>200</v>
      </c>
      <c r="E4" s="7">
        <v>80</v>
      </c>
      <c r="F4" s="7">
        <f>IF(AND(D4&lt;&gt;"",E4&lt;&gt;""),D4*E4,"")</f>
        <v>16000</v>
      </c>
      <c r="G4" s="8">
        <v>46203</v>
      </c>
      <c r="H4" s="8">
        <v>46198</v>
      </c>
      <c r="I4" s="8">
        <v>46201</v>
      </c>
      <c r="J4" s="8">
        <v>46201</v>
      </c>
      <c r="K4" s="8">
        <v>46208</v>
      </c>
      <c r="L4" s="8">
        <v>46205</v>
      </c>
      <c r="M4" s="12" t="s">
        <v>28</v>
      </c>
      <c r="N4" s="9" t="s">
        <v>29</v>
      </c>
      <c r="O4" s="5" t="s">
        <v>30</v>
      </c>
    </row>
    <row r="5" ht="22" customHeight="1" spans="1:15">
      <c r="A5" s="5" t="s">
        <v>31</v>
      </c>
      <c r="B5" s="5" t="s">
        <v>32</v>
      </c>
      <c r="C5" s="5" t="s">
        <v>23</v>
      </c>
      <c r="D5" s="6">
        <v>80</v>
      </c>
      <c r="E5" s="7">
        <v>115</v>
      </c>
      <c r="F5" s="7">
        <f>IF(AND(D5&lt;&gt;"",E5&lt;&gt;""),D5*E5,"")</f>
        <v>9200</v>
      </c>
      <c r="G5" s="8">
        <v>46208</v>
      </c>
      <c r="H5" s="8">
        <v>46206</v>
      </c>
      <c r="I5" s="8">
        <v>46207</v>
      </c>
      <c r="J5" s="8">
        <v>46207</v>
      </c>
      <c r="K5" s="8">
        <v>46213</v>
      </c>
      <c r="L5" s="5"/>
      <c r="M5" s="12" t="s">
        <v>28</v>
      </c>
      <c r="N5" s="10" t="s">
        <v>19</v>
      </c>
      <c r="O5" s="5" t="s">
        <v>33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32"/>
  <sheetViews>
    <sheetView workbookViewId="0">
      <selection activeCell="A1" sqref="A1"/>
    </sheetView>
  </sheetViews>
  <sheetFormatPr defaultColWidth="14" defaultRowHeight="15.2"/>
  <cols>
    <col min="1" max="1" width="81" customWidth="1"/>
  </cols>
  <sheetData>
    <row r="1" ht="15" customHeight="1" spans="1:1">
      <c r="A1" s="1" t="s">
        <v>34</v>
      </c>
    </row>
    <row r="2" ht="15" customHeight="1" spans="1:1">
      <c r="A2" s="2"/>
    </row>
    <row r="3" ht="15" customHeight="1" spans="1:1">
      <c r="A3" s="3" t="s">
        <v>35</v>
      </c>
    </row>
    <row r="4" ht="15" customHeight="1" spans="1:1">
      <c r="A4" s="2" t="s">
        <v>36</v>
      </c>
    </row>
    <row r="5" ht="15" customHeight="1" spans="1:1">
      <c r="A5" s="2" t="s">
        <v>37</v>
      </c>
    </row>
    <row r="6" ht="15" customHeight="1" spans="1:1">
      <c r="A6" s="2" t="s">
        <v>38</v>
      </c>
    </row>
    <row r="7" ht="15" customHeight="1" spans="1:1">
      <c r="A7" s="2" t="s">
        <v>39</v>
      </c>
    </row>
    <row r="8" ht="15" customHeight="1" spans="1:1">
      <c r="A8" s="2"/>
    </row>
    <row r="9" ht="15" customHeight="1" spans="1:1">
      <c r="A9" s="3" t="s">
        <v>40</v>
      </c>
    </row>
    <row r="10" ht="15" customHeight="1" spans="1:1">
      <c r="A10" s="2" t="s">
        <v>41</v>
      </c>
    </row>
    <row r="11" ht="15" customHeight="1" spans="1:1">
      <c r="A11" s="2" t="s">
        <v>42</v>
      </c>
    </row>
    <row r="12" ht="15" customHeight="1" spans="1:1">
      <c r="A12" s="2" t="s">
        <v>43</v>
      </c>
    </row>
    <row r="13" ht="15" customHeight="1" spans="1:1">
      <c r="A13" s="2" t="s">
        <v>44</v>
      </c>
    </row>
    <row r="14" ht="15" customHeight="1" spans="1:1">
      <c r="A14" s="2"/>
    </row>
    <row r="15" ht="15" customHeight="1" spans="1:1">
      <c r="A15" s="3" t="s">
        <v>45</v>
      </c>
    </row>
    <row r="16" ht="15" customHeight="1" spans="1:1">
      <c r="A16" s="2" t="s">
        <v>46</v>
      </c>
    </row>
    <row r="17" ht="15" customHeight="1" spans="1:1">
      <c r="A17" s="2" t="s">
        <v>47</v>
      </c>
    </row>
    <row r="18" ht="15" customHeight="1" spans="1:1">
      <c r="A18" s="2" t="s">
        <v>48</v>
      </c>
    </row>
    <row r="19" ht="15" customHeight="1" spans="1:1">
      <c r="A19" s="2" t="s">
        <v>49</v>
      </c>
    </row>
    <row r="20" ht="15" customHeight="1" spans="1:1">
      <c r="A20" s="2" t="s">
        <v>50</v>
      </c>
    </row>
    <row r="21" ht="15" customHeight="1" spans="1:1">
      <c r="A21" s="2" t="s">
        <v>51</v>
      </c>
    </row>
    <row r="22" ht="15" customHeight="1" spans="1:1">
      <c r="A22" s="2" t="s">
        <v>52</v>
      </c>
    </row>
    <row r="23" ht="15" customHeight="1" spans="1:1">
      <c r="A23" s="2" t="s">
        <v>53</v>
      </c>
    </row>
    <row r="24" ht="15" customHeight="1" spans="1:1">
      <c r="A24" s="2" t="s">
        <v>54</v>
      </c>
    </row>
    <row r="25" ht="15" customHeight="1" spans="1:1">
      <c r="A25" s="2" t="s">
        <v>55</v>
      </c>
    </row>
    <row r="26" ht="15" customHeight="1" spans="1:1">
      <c r="A26" s="2" t="s">
        <v>56</v>
      </c>
    </row>
    <row r="27" ht="15" customHeight="1" spans="1:1">
      <c r="A27" s="2" t="s">
        <v>57</v>
      </c>
    </row>
    <row r="28" ht="15" customHeight="1" spans="1:1">
      <c r="A28" s="2"/>
    </row>
    <row r="29" ht="15" customHeight="1" spans="1:1">
      <c r="A29" s="3" t="s">
        <v>58</v>
      </c>
    </row>
    <row r="30" ht="15" customHeight="1" spans="1:1">
      <c r="A30" s="2" t="s">
        <v>59</v>
      </c>
    </row>
    <row r="31" ht="15" customHeight="1" spans="1:1">
      <c r="A31" s="2" t="s">
        <v>60</v>
      </c>
    </row>
    <row r="32" ht="15" customHeight="1" spans="1:1">
      <c r="A32" s="2" t="s">
        <v>61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订单管理表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Annabelle chau </cp:lastModifiedBy>
  <dcterms:created xsi:type="dcterms:W3CDTF">2026-07-03T21:37:24Z</dcterms:created>
  <dcterms:modified xsi:type="dcterms:W3CDTF">2026-07-03T21:37:36Z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{"Label":"1","ContentProducer":"001191110102MACQD9K64010000","ProduceID":"7658295283143379910","ReservedCode1":"","ContentPropagator":"","PropagateID":"","ReservedCode2":""}</vt:lpwstr>
  </property>
  <property fmtid="{D5CDD505-2E9C-101B-9397-08002B2CF9AE}" pid="3" name="ICV">
    <vt:lpwstr>F1A02A6984C91E8720BB476AEEB794E7_42</vt:lpwstr>
  </property>
  <property fmtid="{D5CDD505-2E9C-101B-9397-08002B2CF9AE}" pid="4" name="KSOProductBuildVer">
    <vt:lpwstr>2052-7.2.2.8955</vt:lpwstr>
  </property>
</Properties>
</file>